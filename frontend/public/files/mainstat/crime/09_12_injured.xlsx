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ENG\"/>
    </mc:Choice>
  </mc:AlternateContent>
  <bookViews>
    <workbookView xWindow="0" yWindow="0" windowWidth="28800" windowHeight="1033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Q17" i="1"/>
  <c r="Q16" i="1"/>
  <c r="Q15" i="1"/>
  <c r="Q14" i="1"/>
  <c r="Q8" i="1"/>
  <c r="Q7" i="1"/>
  <c r="Q6" i="1"/>
  <c r="Q5" i="1"/>
  <c r="Q4" i="1"/>
  <c r="N18" i="1" l="1"/>
  <c r="N17" i="1"/>
  <c r="N16" i="1"/>
  <c r="N15" i="1"/>
  <c r="N8" i="1"/>
  <c r="N7" i="1"/>
  <c r="N6" i="1"/>
  <c r="N5" i="1"/>
  <c r="K18" i="1" l="1"/>
  <c r="H18" i="1"/>
  <c r="E18" i="1"/>
  <c r="B18" i="1"/>
  <c r="K17" i="1"/>
  <c r="H17" i="1"/>
  <c r="E17" i="1"/>
  <c r="B17" i="1"/>
  <c r="K16" i="1"/>
  <c r="H16" i="1"/>
  <c r="E16" i="1"/>
  <c r="B16" i="1"/>
  <c r="K15" i="1"/>
  <c r="H15" i="1"/>
  <c r="E15" i="1"/>
  <c r="B15" i="1"/>
  <c r="K14" i="1"/>
  <c r="H14" i="1"/>
  <c r="E14" i="1"/>
  <c r="B14" i="1"/>
  <c r="K8" i="1"/>
  <c r="H8" i="1"/>
  <c r="E8" i="1"/>
  <c r="B8" i="1"/>
  <c r="K7" i="1"/>
  <c r="H7" i="1"/>
  <c r="E7" i="1"/>
  <c r="B7" i="1"/>
  <c r="K6" i="1"/>
  <c r="H6" i="1"/>
  <c r="E6" i="1"/>
  <c r="B6" i="1"/>
  <c r="K5" i="1"/>
  <c r="H5" i="1"/>
  <c r="E5" i="1"/>
  <c r="B5" i="1"/>
  <c r="K4" i="1"/>
  <c r="H4" i="1"/>
  <c r="E4" i="1"/>
  <c r="B4" i="1"/>
</calcChain>
</file>

<file path=xl/sharedStrings.xml><?xml version="1.0" encoding="utf-8"?>
<sst xmlns="http://schemas.openxmlformats.org/spreadsheetml/2006/main" count="52" uniqueCount="13">
  <si>
    <t>On the territory of the Patrol Police Department of the Ministry of Internal Affairs.</t>
  </si>
  <si>
    <t xml:space="preserve"> Women</t>
  </si>
  <si>
    <t xml:space="preserve">Men </t>
  </si>
  <si>
    <t>18-29 age groups</t>
  </si>
  <si>
    <t>18-24 age groups</t>
  </si>
  <si>
    <t>15-29 age groups</t>
  </si>
  <si>
    <t xml:space="preserve">15-24 age groups </t>
  </si>
  <si>
    <t>0-17 age groups</t>
  </si>
  <si>
    <t>Age groups</t>
  </si>
  <si>
    <r>
      <t xml:space="preserve">Persons injured in road accidents by sex and age groups
</t>
    </r>
    <r>
      <rPr>
        <sz val="10"/>
        <color rgb="FF000000"/>
        <rFont val="Arial"/>
        <family val="2"/>
      </rPr>
      <t>(persons)</t>
    </r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</si>
  <si>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Internal Affairs of Georgia.</t>
    </r>
  </si>
  <si>
    <t>Total</t>
  </si>
  <si>
    <r>
      <t>Pedestrians injured in road accidents by sex age groups</t>
    </r>
    <r>
      <rPr>
        <b/>
        <sz val="11"/>
        <color theme="1"/>
        <rFont val="Arial"/>
        <family val="2"/>
      </rPr>
      <t xml:space="preserve">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</si>
</sst>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0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righ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zoomScaleNormal="100" workbookViewId="0">
      <selection sqref="A1:S1"/>
    </sheetView>
  </sheetViews>
  <sheetFormatPr defaultRowHeight="14.25" x14ac:dyDescent="0.25"/>
  <cols>
    <col min="1" max="1" width="20.7109375" style="18" customWidth="1"/>
    <col min="2" max="19" width="10.7109375" style="18" customWidth="1"/>
    <col min="20" max="16384" width="9.140625" style="18"/>
  </cols>
  <sheetData>
    <row r="1" spans="1:19" ht="30" customHeight="1" x14ac:dyDescent="0.25">
      <c r="A1" s="26" t="s">
        <v>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15" customHeight="1" x14ac:dyDescent="0.25">
      <c r="A2" s="28" t="s">
        <v>8</v>
      </c>
      <c r="B2" s="30">
        <v>2019</v>
      </c>
      <c r="C2" s="30"/>
      <c r="D2" s="30"/>
      <c r="E2" s="25">
        <v>2020</v>
      </c>
      <c r="F2" s="25"/>
      <c r="G2" s="25"/>
      <c r="H2" s="25">
        <v>2021</v>
      </c>
      <c r="I2" s="25"/>
      <c r="J2" s="25"/>
      <c r="K2" s="25">
        <v>2022</v>
      </c>
      <c r="L2" s="25"/>
      <c r="M2" s="25"/>
      <c r="N2" s="25">
        <v>2023</v>
      </c>
      <c r="O2" s="25"/>
      <c r="P2" s="25"/>
      <c r="Q2" s="25">
        <v>2024</v>
      </c>
      <c r="R2" s="25"/>
      <c r="S2" s="25"/>
    </row>
    <row r="3" spans="1:19" ht="15" customHeight="1" x14ac:dyDescent="0.25">
      <c r="A3" s="29"/>
      <c r="B3" s="8" t="s">
        <v>11</v>
      </c>
      <c r="C3" s="7" t="s">
        <v>1</v>
      </c>
      <c r="D3" s="7" t="s">
        <v>2</v>
      </c>
      <c r="E3" s="24" t="s">
        <v>11</v>
      </c>
      <c r="F3" s="1" t="s">
        <v>1</v>
      </c>
      <c r="G3" s="1" t="s">
        <v>2</v>
      </c>
      <c r="H3" s="24" t="s">
        <v>11</v>
      </c>
      <c r="I3" s="1" t="s">
        <v>1</v>
      </c>
      <c r="J3" s="1" t="s">
        <v>2</v>
      </c>
      <c r="K3" s="24" t="s">
        <v>11</v>
      </c>
      <c r="L3" s="1" t="s">
        <v>1</v>
      </c>
      <c r="M3" s="1" t="s">
        <v>2</v>
      </c>
      <c r="N3" s="8" t="s">
        <v>11</v>
      </c>
      <c r="O3" s="7" t="s">
        <v>1</v>
      </c>
      <c r="P3" s="7" t="s">
        <v>2</v>
      </c>
      <c r="Q3" s="8" t="s">
        <v>11</v>
      </c>
      <c r="R3" s="7" t="s">
        <v>1</v>
      </c>
      <c r="S3" s="7" t="s">
        <v>2</v>
      </c>
    </row>
    <row r="4" spans="1:19" ht="15" customHeight="1" x14ac:dyDescent="0.25">
      <c r="A4" s="19" t="s">
        <v>7</v>
      </c>
      <c r="B4" s="2">
        <f>SUM(C4:D4)</f>
        <v>978</v>
      </c>
      <c r="C4" s="2">
        <v>447</v>
      </c>
      <c r="D4" s="2">
        <v>531</v>
      </c>
      <c r="E4" s="2">
        <f>SUM(F4:G4)</f>
        <v>666</v>
      </c>
      <c r="F4" s="2">
        <v>271</v>
      </c>
      <c r="G4" s="2">
        <v>395</v>
      </c>
      <c r="H4" s="2">
        <f>SUM(I4:J4)</f>
        <v>858</v>
      </c>
      <c r="I4" s="2">
        <v>363</v>
      </c>
      <c r="J4" s="2">
        <v>495</v>
      </c>
      <c r="K4" s="2">
        <f>SUM(L4:M4)</f>
        <v>874</v>
      </c>
      <c r="L4" s="2">
        <v>387</v>
      </c>
      <c r="M4" s="2">
        <v>487</v>
      </c>
      <c r="N4" s="13">
        <v>852</v>
      </c>
      <c r="O4" s="13">
        <v>411</v>
      </c>
      <c r="P4" s="13">
        <v>441</v>
      </c>
      <c r="Q4" s="31">
        <f>SUM(R4:S4)</f>
        <v>914</v>
      </c>
      <c r="R4" s="31">
        <v>410</v>
      </c>
      <c r="S4" s="31">
        <v>504</v>
      </c>
    </row>
    <row r="5" spans="1:19" ht="15" customHeight="1" x14ac:dyDescent="0.25">
      <c r="A5" s="20" t="s">
        <v>6</v>
      </c>
      <c r="B5" s="3">
        <f t="shared" ref="B5:B8" si="0">SUM(C5:D5)</f>
        <v>1524</v>
      </c>
      <c r="C5" s="3">
        <v>538</v>
      </c>
      <c r="D5" s="3">
        <v>986</v>
      </c>
      <c r="E5" s="3">
        <f t="shared" ref="E5:E8" si="1">SUM(F5:G5)</f>
        <v>1265</v>
      </c>
      <c r="F5" s="4">
        <v>371</v>
      </c>
      <c r="G5" s="4">
        <v>894</v>
      </c>
      <c r="H5" s="3">
        <f t="shared" ref="H5:H8" si="2">SUM(I5:J5)</f>
        <v>1441</v>
      </c>
      <c r="I5" s="3">
        <v>412</v>
      </c>
      <c r="J5" s="3">
        <v>1029</v>
      </c>
      <c r="K5" s="3">
        <f t="shared" ref="K5:K8" si="3">SUM(L5:M5)</f>
        <v>1370</v>
      </c>
      <c r="L5" s="13">
        <v>475</v>
      </c>
      <c r="M5" s="13">
        <v>895</v>
      </c>
      <c r="N5" s="13">
        <f t="shared" ref="N5:N8" si="4">SUM(O5:P5)</f>
        <v>1176</v>
      </c>
      <c r="O5" s="13">
        <v>439</v>
      </c>
      <c r="P5" s="13">
        <v>737</v>
      </c>
      <c r="Q5" s="13">
        <f t="shared" ref="Q5:Q8" si="5">SUM(R5:S5)</f>
        <v>1505</v>
      </c>
      <c r="R5" s="13">
        <v>465</v>
      </c>
      <c r="S5" s="13">
        <v>1040</v>
      </c>
    </row>
    <row r="6" spans="1:19" ht="15" customHeight="1" x14ac:dyDescent="0.25">
      <c r="A6" s="20" t="s">
        <v>5</v>
      </c>
      <c r="B6" s="3">
        <f t="shared" si="0"/>
        <v>2354</v>
      </c>
      <c r="C6" s="3">
        <v>817</v>
      </c>
      <c r="D6" s="3">
        <v>1537</v>
      </c>
      <c r="E6" s="3">
        <f t="shared" si="1"/>
        <v>1986</v>
      </c>
      <c r="F6" s="4">
        <v>588</v>
      </c>
      <c r="G6" s="4">
        <v>1398</v>
      </c>
      <c r="H6" s="3">
        <f t="shared" si="2"/>
        <v>2292</v>
      </c>
      <c r="I6" s="3">
        <v>665</v>
      </c>
      <c r="J6" s="3">
        <v>1627</v>
      </c>
      <c r="K6" s="3">
        <f t="shared" si="3"/>
        <v>2209</v>
      </c>
      <c r="L6" s="13">
        <v>760</v>
      </c>
      <c r="M6" s="13">
        <v>1449</v>
      </c>
      <c r="N6" s="13">
        <f t="shared" si="4"/>
        <v>1869</v>
      </c>
      <c r="O6" s="13">
        <v>670</v>
      </c>
      <c r="P6" s="13">
        <v>1199</v>
      </c>
      <c r="Q6" s="13">
        <f t="shared" si="5"/>
        <v>2238</v>
      </c>
      <c r="R6" s="13">
        <v>687</v>
      </c>
      <c r="S6" s="13">
        <v>1551</v>
      </c>
    </row>
    <row r="7" spans="1:19" ht="15" customHeight="1" x14ac:dyDescent="0.25">
      <c r="A7" s="20" t="s">
        <v>4</v>
      </c>
      <c r="B7" s="3">
        <f t="shared" si="0"/>
        <v>1269</v>
      </c>
      <c r="C7" s="3">
        <v>429</v>
      </c>
      <c r="D7" s="3">
        <v>840</v>
      </c>
      <c r="E7" s="3">
        <f t="shared" si="1"/>
        <v>1069</v>
      </c>
      <c r="F7" s="4">
        <v>298</v>
      </c>
      <c r="G7" s="4">
        <v>771</v>
      </c>
      <c r="H7" s="3">
        <f t="shared" si="2"/>
        <v>1216</v>
      </c>
      <c r="I7" s="3">
        <v>321</v>
      </c>
      <c r="J7" s="3">
        <v>895</v>
      </c>
      <c r="K7" s="3">
        <f t="shared" si="3"/>
        <v>1150</v>
      </c>
      <c r="L7" s="13">
        <v>375</v>
      </c>
      <c r="M7" s="13">
        <v>775</v>
      </c>
      <c r="N7" s="13">
        <f t="shared" si="4"/>
        <v>902</v>
      </c>
      <c r="O7" s="13">
        <v>318</v>
      </c>
      <c r="P7" s="13">
        <v>584</v>
      </c>
      <c r="Q7" s="13">
        <f t="shared" si="5"/>
        <v>1365</v>
      </c>
      <c r="R7" s="13">
        <v>459</v>
      </c>
      <c r="S7" s="13">
        <v>906</v>
      </c>
    </row>
    <row r="8" spans="1:19" ht="15" customHeight="1" x14ac:dyDescent="0.25">
      <c r="A8" s="21" t="s">
        <v>3</v>
      </c>
      <c r="B8" s="5">
        <f t="shared" si="0"/>
        <v>2099</v>
      </c>
      <c r="C8" s="5">
        <v>708</v>
      </c>
      <c r="D8" s="5">
        <v>1391</v>
      </c>
      <c r="E8" s="5">
        <f t="shared" si="1"/>
        <v>1790</v>
      </c>
      <c r="F8" s="6">
        <v>515</v>
      </c>
      <c r="G8" s="6">
        <v>1275</v>
      </c>
      <c r="H8" s="5">
        <f t="shared" si="2"/>
        <v>2067</v>
      </c>
      <c r="I8" s="5">
        <v>574</v>
      </c>
      <c r="J8" s="5">
        <v>1493</v>
      </c>
      <c r="K8" s="5">
        <f t="shared" si="3"/>
        <v>1989</v>
      </c>
      <c r="L8" s="14">
        <v>660</v>
      </c>
      <c r="M8" s="14">
        <v>1329</v>
      </c>
      <c r="N8" s="14">
        <f t="shared" si="4"/>
        <v>1595</v>
      </c>
      <c r="O8" s="14">
        <v>549</v>
      </c>
      <c r="P8" s="14">
        <v>1046</v>
      </c>
      <c r="Q8" s="14">
        <f t="shared" si="5"/>
        <v>2015</v>
      </c>
      <c r="R8" s="14">
        <v>598</v>
      </c>
      <c r="S8" s="14">
        <v>1417</v>
      </c>
    </row>
    <row r="9" spans="1:19" ht="15" customHeight="1" x14ac:dyDescent="0.25"/>
    <row r="11" spans="1:19" ht="35.1" customHeight="1" x14ac:dyDescent="0.25">
      <c r="A11" s="27" t="s">
        <v>12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 spans="1:19" ht="15" customHeight="1" x14ac:dyDescent="0.25">
      <c r="A12" s="28" t="s">
        <v>8</v>
      </c>
      <c r="B12" s="25">
        <v>2019</v>
      </c>
      <c r="C12" s="25"/>
      <c r="D12" s="25"/>
      <c r="E12" s="25">
        <v>2020</v>
      </c>
      <c r="F12" s="25"/>
      <c r="G12" s="25"/>
      <c r="H12" s="25">
        <v>2021</v>
      </c>
      <c r="I12" s="25"/>
      <c r="J12" s="25"/>
      <c r="K12" s="25">
        <v>2022</v>
      </c>
      <c r="L12" s="25"/>
      <c r="M12" s="25"/>
      <c r="N12" s="25">
        <v>2023</v>
      </c>
      <c r="O12" s="25"/>
      <c r="P12" s="25"/>
      <c r="Q12" s="25">
        <v>2024</v>
      </c>
      <c r="R12" s="25"/>
      <c r="S12" s="25"/>
    </row>
    <row r="13" spans="1:19" x14ac:dyDescent="0.25">
      <c r="A13" s="29"/>
      <c r="B13" s="8" t="s">
        <v>11</v>
      </c>
      <c r="C13" s="7" t="s">
        <v>1</v>
      </c>
      <c r="D13" s="7" t="s">
        <v>2</v>
      </c>
      <c r="E13" s="8" t="s">
        <v>11</v>
      </c>
      <c r="F13" s="7" t="s">
        <v>1</v>
      </c>
      <c r="G13" s="7" t="s">
        <v>2</v>
      </c>
      <c r="H13" s="8" t="s">
        <v>11</v>
      </c>
      <c r="I13" s="7" t="s">
        <v>1</v>
      </c>
      <c r="J13" s="7" t="s">
        <v>2</v>
      </c>
      <c r="K13" s="8" t="s">
        <v>11</v>
      </c>
      <c r="L13" s="7" t="s">
        <v>1</v>
      </c>
      <c r="M13" s="7" t="s">
        <v>2</v>
      </c>
      <c r="N13" s="8" t="s">
        <v>11</v>
      </c>
      <c r="O13" s="7" t="s">
        <v>1</v>
      </c>
      <c r="P13" s="7" t="s">
        <v>2</v>
      </c>
      <c r="Q13" s="8" t="s">
        <v>11</v>
      </c>
      <c r="R13" s="7" t="s">
        <v>1</v>
      </c>
      <c r="S13" s="7" t="s">
        <v>2</v>
      </c>
    </row>
    <row r="14" spans="1:19" x14ac:dyDescent="0.25">
      <c r="A14" s="19" t="s">
        <v>7</v>
      </c>
      <c r="B14" s="2">
        <f>SUM(C14:D14)</f>
        <v>330</v>
      </c>
      <c r="C14" s="9">
        <v>171</v>
      </c>
      <c r="D14" s="9">
        <v>159</v>
      </c>
      <c r="E14" s="2">
        <f>SUM(F14:G14)</f>
        <v>196</v>
      </c>
      <c r="F14" s="10">
        <v>89</v>
      </c>
      <c r="G14" s="10">
        <v>107</v>
      </c>
      <c r="H14" s="2">
        <f>SUM(I14:J14)</f>
        <v>292</v>
      </c>
      <c r="I14" s="9">
        <v>136</v>
      </c>
      <c r="J14" s="9">
        <v>156</v>
      </c>
      <c r="K14" s="2">
        <f>SUM(L14:M14)</f>
        <v>296</v>
      </c>
      <c r="L14" s="15">
        <v>129</v>
      </c>
      <c r="M14" s="15">
        <v>167</v>
      </c>
      <c r="N14" s="16">
        <v>341</v>
      </c>
      <c r="O14" s="16">
        <v>173</v>
      </c>
      <c r="P14" s="16">
        <v>168</v>
      </c>
      <c r="Q14" s="16">
        <f>SUM(R14:S14)</f>
        <v>366</v>
      </c>
      <c r="R14" s="16">
        <v>153</v>
      </c>
      <c r="S14" s="16">
        <v>213</v>
      </c>
    </row>
    <row r="15" spans="1:19" x14ac:dyDescent="0.25">
      <c r="A15" s="20" t="s">
        <v>6</v>
      </c>
      <c r="B15" s="3">
        <f t="shared" ref="B15:B18" si="6">SUM(C15:D15)</f>
        <v>284</v>
      </c>
      <c r="C15" s="11">
        <v>172</v>
      </c>
      <c r="D15" s="11">
        <v>112</v>
      </c>
      <c r="E15" s="3">
        <f t="shared" ref="E15:E18" si="7">SUM(F15:G15)</f>
        <v>168</v>
      </c>
      <c r="F15" s="12">
        <v>90</v>
      </c>
      <c r="G15" s="12">
        <v>78</v>
      </c>
      <c r="H15" s="3">
        <f t="shared" ref="H15:H18" si="8">SUM(I15:J15)</f>
        <v>215</v>
      </c>
      <c r="I15" s="11">
        <v>120</v>
      </c>
      <c r="J15" s="11">
        <v>95</v>
      </c>
      <c r="K15" s="3">
        <f t="shared" ref="K15:K18" si="9">SUM(L15:M15)</f>
        <v>214</v>
      </c>
      <c r="L15" s="16">
        <v>120</v>
      </c>
      <c r="M15" s="16">
        <v>94</v>
      </c>
      <c r="N15" s="16">
        <f t="shared" ref="N15:N18" si="10">SUM(O15:P15)</f>
        <v>218</v>
      </c>
      <c r="O15" s="16">
        <v>122</v>
      </c>
      <c r="P15" s="16">
        <v>96</v>
      </c>
      <c r="Q15" s="16">
        <f t="shared" ref="Q15:Q18" si="11">SUM(R15:S15)</f>
        <v>257</v>
      </c>
      <c r="R15" s="16">
        <v>131</v>
      </c>
      <c r="S15" s="16">
        <v>126</v>
      </c>
    </row>
    <row r="16" spans="1:19" x14ac:dyDescent="0.25">
      <c r="A16" s="20" t="s">
        <v>5</v>
      </c>
      <c r="B16" s="3">
        <f t="shared" si="6"/>
        <v>426</v>
      </c>
      <c r="C16" s="11">
        <v>250</v>
      </c>
      <c r="D16" s="11">
        <v>176</v>
      </c>
      <c r="E16" s="3">
        <f t="shared" si="7"/>
        <v>263</v>
      </c>
      <c r="F16" s="12">
        <v>147</v>
      </c>
      <c r="G16" s="12">
        <v>116</v>
      </c>
      <c r="H16" s="3">
        <f t="shared" si="8"/>
        <v>309</v>
      </c>
      <c r="I16" s="11">
        <v>166</v>
      </c>
      <c r="J16" s="11">
        <v>143</v>
      </c>
      <c r="K16" s="3">
        <f t="shared" si="9"/>
        <v>340</v>
      </c>
      <c r="L16" s="16">
        <v>192</v>
      </c>
      <c r="M16" s="16">
        <v>148</v>
      </c>
      <c r="N16" s="16">
        <f t="shared" si="10"/>
        <v>320</v>
      </c>
      <c r="O16" s="16">
        <v>168</v>
      </c>
      <c r="P16" s="16">
        <v>152</v>
      </c>
      <c r="Q16" s="16">
        <f t="shared" si="11"/>
        <v>362</v>
      </c>
      <c r="R16" s="16">
        <v>186</v>
      </c>
      <c r="S16" s="16">
        <v>176</v>
      </c>
    </row>
    <row r="17" spans="1:19" x14ac:dyDescent="0.25">
      <c r="A17" s="20" t="s">
        <v>4</v>
      </c>
      <c r="B17" s="3">
        <f t="shared" si="6"/>
        <v>205</v>
      </c>
      <c r="C17" s="16">
        <v>124</v>
      </c>
      <c r="D17" s="16">
        <v>81</v>
      </c>
      <c r="E17" s="3">
        <f t="shared" si="7"/>
        <v>128</v>
      </c>
      <c r="F17" s="16">
        <v>70</v>
      </c>
      <c r="G17" s="16">
        <v>58</v>
      </c>
      <c r="H17" s="3">
        <f t="shared" si="8"/>
        <v>147</v>
      </c>
      <c r="I17" s="16">
        <v>76</v>
      </c>
      <c r="J17" s="16">
        <v>71</v>
      </c>
      <c r="K17" s="3">
        <f t="shared" si="9"/>
        <v>154</v>
      </c>
      <c r="L17" s="16">
        <v>83</v>
      </c>
      <c r="M17" s="16">
        <v>71</v>
      </c>
      <c r="N17" s="16">
        <f t="shared" si="10"/>
        <v>134</v>
      </c>
      <c r="O17" s="16">
        <v>73</v>
      </c>
      <c r="P17" s="16">
        <v>61</v>
      </c>
      <c r="Q17" s="16">
        <f t="shared" si="11"/>
        <v>205</v>
      </c>
      <c r="R17" s="16">
        <v>119</v>
      </c>
      <c r="S17" s="16">
        <v>86</v>
      </c>
    </row>
    <row r="18" spans="1:19" x14ac:dyDescent="0.25">
      <c r="A18" s="21" t="s">
        <v>3</v>
      </c>
      <c r="B18" s="5">
        <f t="shared" si="6"/>
        <v>347</v>
      </c>
      <c r="C18" s="17">
        <v>202</v>
      </c>
      <c r="D18" s="17">
        <v>145</v>
      </c>
      <c r="E18" s="5">
        <f t="shared" si="7"/>
        <v>223</v>
      </c>
      <c r="F18" s="17">
        <v>127</v>
      </c>
      <c r="G18" s="17">
        <v>96</v>
      </c>
      <c r="H18" s="5">
        <f t="shared" si="8"/>
        <v>241</v>
      </c>
      <c r="I18" s="17">
        <v>122</v>
      </c>
      <c r="J18" s="17">
        <v>119</v>
      </c>
      <c r="K18" s="5">
        <f t="shared" si="9"/>
        <v>280</v>
      </c>
      <c r="L18" s="17">
        <v>155</v>
      </c>
      <c r="M18" s="17">
        <v>125</v>
      </c>
      <c r="N18" s="17">
        <f t="shared" si="10"/>
        <v>236</v>
      </c>
      <c r="O18" s="17">
        <v>119</v>
      </c>
      <c r="P18" s="17">
        <v>117</v>
      </c>
      <c r="Q18" s="17">
        <f t="shared" si="11"/>
        <v>290</v>
      </c>
      <c r="R18" s="17">
        <v>154</v>
      </c>
      <c r="S18" s="17">
        <v>136</v>
      </c>
    </row>
    <row r="19" spans="1:19" ht="15" customHeight="1" x14ac:dyDescent="0.25">
      <c r="A19" s="23" t="s">
        <v>0</v>
      </c>
      <c r="B19" s="22"/>
    </row>
    <row r="20" spans="1:19" ht="15" customHeight="1" x14ac:dyDescent="0.25">
      <c r="A20" s="23" t="s">
        <v>10</v>
      </c>
      <c r="B20" s="22"/>
    </row>
  </sheetData>
  <mergeCells count="16">
    <mergeCell ref="Q2:S2"/>
    <mergeCell ref="Q12:S12"/>
    <mergeCell ref="A1:S1"/>
    <mergeCell ref="A11:S11"/>
    <mergeCell ref="N2:P2"/>
    <mergeCell ref="N12:P12"/>
    <mergeCell ref="B12:D12"/>
    <mergeCell ref="E12:G12"/>
    <mergeCell ref="H12:J12"/>
    <mergeCell ref="K12:M12"/>
    <mergeCell ref="A12:A13"/>
    <mergeCell ref="A2:A3"/>
    <mergeCell ref="B2:D2"/>
    <mergeCell ref="E2:G2"/>
    <mergeCell ref="H2:J2"/>
    <mergeCell ref="K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2023-07-28T05:38:07Z</dcterms:created>
  <dcterms:modified xsi:type="dcterms:W3CDTF">2025-07-30T10:59:50Z</dcterms:modified>
</cp:coreProperties>
</file>